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2" autoFilterDateGrouping="1"/>
  </bookViews>
  <sheets>
    <sheet name="README" sheetId="1" state="visible" r:id="rId1"/>
    <sheet name="sensory" sheetId="2" state="visible" r:id="rId2"/>
    <sheet name="recipes" sheetId="3" state="visible" r:id="rId3"/>
    <sheet name="instrumental" sheetId="4" state="visible" r:id="rId4"/>
    <sheet name="dictionary" sheetId="5" state="visible" r:id="rId5"/>
    <sheet name="proces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2"/>
      <b val="1"/>
      <sz val="13"/>
    </font>
    <font>
      <name val="Arial"/>
      <family val="2"/>
      <b val="1"/>
      <sz val="10"/>
    </font>
    <font>
      <name val="Arial"/>
      <family val="2"/>
      <i val="1"/>
      <color rgb="FF555555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1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FF2E5B8A"/>
        <bgColor rgb="FF555555"/>
      </patternFill>
    </fill>
    <fill>
      <patternFill patternType="solid">
        <fgColor rgb="FFEAF1F8"/>
        <bgColor rgb="FFFFFFFF"/>
      </patternFill>
    </fill>
    <fill>
      <patternFill patternType="solid">
        <fgColor rgb="FF7C6F5B"/>
        <bgColor rgb="FF555555"/>
      </patternFill>
    </fill>
    <fill>
      <patternFill patternType="solid">
        <fgColor rgb="002E5B8A"/>
      </patternFill>
    </fill>
    <fill>
      <patternFill patternType="solid">
        <fgColor rgb="00EAF1F8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1" fillId="5" borderId="3" pivotButton="0" quotePrefix="0" xfId="0"/>
    <xf numFmtId="0" fontId="12" fillId="6" borderId="3" pivotButton="0" quotePrefix="0" xfId="0"/>
    <xf numFmtId="0" fontId="12" fillId="0" borderId="3" pivotButton="0" quotePrefix="0" xfId="0"/>
    <xf numFmtId="0" fontId="13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6F5B"/>
      <rgbColor rgb="FF9999FF"/>
      <rgbColor rgb="FF993366"/>
      <rgbColor rgb="FFFFFFCC"/>
      <rgbColor rgb="FFEAF1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5B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zoomScaleNormal="100" workbookViewId="0">
      <selection activeCell="A1" sqref="A1"/>
    </sheetView>
  </sheetViews>
  <sheetFormatPr baseColWidth="8" defaultColWidth="8.7109375" defaultRowHeight="15"/>
  <cols>
    <col width="110" customWidth="1" min="1" max="1"/>
  </cols>
  <sheetData>
    <row r="1" ht="16.5" customHeight="1">
      <c r="A1" s="1" t="inlineStr">
        <is>
          <t>Warm-loop data template — recipe formulator</t>
        </is>
      </c>
    </row>
    <row r="2">
      <c r="A2" s="2" t="n"/>
    </row>
    <row r="3">
      <c r="A3" s="3" t="inlineStr">
        <is>
          <t>Fill 4 sheets. One workbook per PROJECT (e.g., beverage_A). Sensory is BENCHMARK-RELATIVE.</t>
        </is>
      </c>
    </row>
    <row r="4">
      <c r="A4" s="2" t="n"/>
    </row>
    <row r="5">
      <c r="A5" s="2" t="inlineStr">
        <is>
          <t>SHEETS</t>
        </is>
      </c>
    </row>
    <row r="6">
      <c r="A6" s="3" t="inlineStr">
        <is>
          <t xml:space="preserve">  recipes      — one row per prototype (batch). Ingredient blend ratios (%). 'total' auto-sums.</t>
        </is>
      </c>
    </row>
    <row r="7">
      <c r="A7" s="3" t="inlineStr">
        <is>
          <t xml:space="preserve">  sensory      — one row per prototype x replicate. 6 attributes, scored RELATIVE to the benchmark.</t>
        </is>
      </c>
    </row>
    <row r="8">
      <c r="A8" s="3" t="inlineStr">
        <is>
          <t xml:space="preserve">  instrumental — PLACEHOLDER for measured/experimental data (viscosity, Brix, pH...). Empty now;</t>
        </is>
      </c>
    </row>
    <row r="9">
      <c r="A9" s="3" t="inlineStr">
        <is>
          <t xml:space="preserve">                 fill for projects that have lab measurements. Engine uses it if present, ignores if blank.</t>
        </is>
      </c>
    </row>
    <row r="10">
      <c r="A10" s="3" t="inlineStr">
        <is>
          <t xml:space="preserve">  dictionary   — maps your ingredient/attribute columns to ontology ids (ING.* / SA.*) + benchmark + scale.</t>
        </is>
      </c>
    </row>
    <row r="11">
      <c r="A11" s="2" t="n"/>
    </row>
    <row r="12">
      <c r="A12" s="3" t="inlineStr">
        <is>
          <t>SENSORY SCALE (benchmark-relative, Layer B operational model)</t>
        </is>
      </c>
    </row>
    <row r="13">
      <c r="A13" s="3" t="inlineStr">
        <is>
          <t xml:space="preserve">  -3 much less | -2 less | -1 slightly less | 0 same as benchmark | +1 slightly more | +2 more | +3 much more</t>
        </is>
      </c>
    </row>
    <row r="14">
      <c r="A14" s="3" t="inlineStr">
        <is>
          <t xml:space="preserve">  The BENCHMARK prototype itself = all zeros by definition (include it as one row, is_benchmark = yes).</t>
        </is>
      </c>
    </row>
    <row r="15">
      <c r="A15" s="2" t="n"/>
    </row>
    <row r="16">
      <c r="A16" s="2" t="inlineStr">
        <is>
          <t>REPLICATES</t>
        </is>
      </c>
    </row>
    <row r="17">
      <c r="A17" s="3" t="inlineStr">
        <is>
          <t xml:space="preserve">  If the same batch was tasted by several panelists or repeated, add one sensory row per replicate</t>
        </is>
      </c>
    </row>
    <row r="18">
      <c r="A18" s="3" t="inlineStr">
        <is>
          <t xml:space="preserve">  (rep = 1,2,3...). Used to estimate scoring noise/reliability. If already averaged, use rep = 1.</t>
        </is>
      </c>
    </row>
    <row r="19">
      <c r="A19" s="2" t="n"/>
    </row>
    <row r="20">
      <c r="A20" s="2" t="inlineStr">
        <is>
          <t>CONVENTIONS</t>
        </is>
      </c>
    </row>
    <row r="21">
      <c r="A21" s="3" t="inlineStr">
        <is>
          <t xml:space="preserve">  - sample_id must match across sheets (e.g., B01).</t>
        </is>
      </c>
    </row>
    <row r="22">
      <c r="A22" s="3" t="inlineStr">
        <is>
          <t xml:space="preserve">  - ingredient columns: ing__&lt;name&gt;  (rename freely; record the ontology id in dictionary).</t>
        </is>
      </c>
    </row>
    <row r="23">
      <c r="A23" s="3" t="inlineStr">
        <is>
          <t xml:space="preserve">  - attribute columns : sens__&lt;name&gt; ; instrumental: instr__&lt;name&gt;.</t>
        </is>
      </c>
    </row>
    <row r="24">
      <c r="A24" s="3" t="inlineStr">
        <is>
          <t xml:space="preserve">  - leave unknown cells blank (do NOT put 0 unless it is truly zero).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sample_id</t>
        </is>
      </c>
      <c r="B1" s="15" t="inlineStr">
        <is>
          <t>rep</t>
        </is>
      </c>
      <c r="C1" s="15" t="inlineStr">
        <is>
          <t>sens_sweet</t>
        </is>
      </c>
      <c r="D1" s="15" t="inlineStr">
        <is>
          <t>sens_rice flavor</t>
        </is>
      </c>
      <c r="E1" s="15" t="inlineStr">
        <is>
          <t>sens_oil flavor</t>
        </is>
      </c>
      <c r="F1" s="15" t="inlineStr">
        <is>
          <t>sens_oxidated oil</t>
        </is>
      </c>
      <c r="G1" s="15" t="inlineStr">
        <is>
          <t>sens_mouthfeel</t>
        </is>
      </c>
      <c r="H1" s="15" t="inlineStr">
        <is>
          <t>sens_creaminess</t>
        </is>
      </c>
    </row>
    <row r="2">
      <c r="A2" s="16" t="inlineStr">
        <is>
          <t>B00_bench</t>
        </is>
      </c>
      <c r="B2" s="16" t="n">
        <v>1</v>
      </c>
      <c r="C2" s="16" t="n">
        <v>0</v>
      </c>
      <c r="D2" s="16" t="n">
        <v>0</v>
      </c>
      <c r="E2" s="16" t="n">
        <v>0</v>
      </c>
      <c r="F2" s="16" t="n">
        <v>0</v>
      </c>
      <c r="G2" s="16" t="n">
        <v>0</v>
      </c>
      <c r="H2" s="16" t="n">
        <v>0</v>
      </c>
    </row>
    <row r="3">
      <c r="A3" s="17" t="inlineStr">
        <is>
          <t>RM1</t>
        </is>
      </c>
      <c r="B3" s="17" t="n">
        <v>1</v>
      </c>
      <c r="C3" s="17" t="n">
        <v>-1</v>
      </c>
      <c r="D3" s="17" t="n">
        <v>-0.5</v>
      </c>
      <c r="E3" s="17" t="n">
        <v>-1</v>
      </c>
      <c r="F3" s="17" t="n">
        <v>1</v>
      </c>
      <c r="G3" s="17" t="n">
        <v>-2</v>
      </c>
      <c r="H3" s="17" t="n"/>
    </row>
    <row r="4">
      <c r="A4" s="17" t="inlineStr">
        <is>
          <t>RM2</t>
        </is>
      </c>
      <c r="B4" s="17" t="n">
        <v>1</v>
      </c>
      <c r="C4" s="17" t="n">
        <v>-2</v>
      </c>
      <c r="D4" s="17" t="n">
        <v>-1</v>
      </c>
      <c r="E4" s="17" t="n">
        <v>-1</v>
      </c>
      <c r="F4" s="17" t="n">
        <v>1</v>
      </c>
      <c r="G4" s="17" t="n">
        <v>-2</v>
      </c>
      <c r="H4" s="17" t="n"/>
    </row>
    <row r="5">
      <c r="A5" s="17" t="inlineStr">
        <is>
          <t>RM4</t>
        </is>
      </c>
      <c r="B5" s="17" t="n">
        <v>1</v>
      </c>
      <c r="C5" s="17" t="n">
        <v>-1</v>
      </c>
      <c r="D5" s="17" t="n">
        <v>-0.5</v>
      </c>
      <c r="E5" s="17" t="n">
        <v>-1</v>
      </c>
      <c r="F5" s="17" t="n">
        <v>1</v>
      </c>
      <c r="G5" s="17" t="n">
        <v>-2</v>
      </c>
      <c r="H5" s="17" t="n"/>
    </row>
    <row r="6">
      <c r="A6" s="17" t="inlineStr">
        <is>
          <t>RM9</t>
        </is>
      </c>
      <c r="B6" s="17" t="n">
        <v>1</v>
      </c>
      <c r="C6" s="17" t="n">
        <v>-1</v>
      </c>
      <c r="D6" s="17" t="n">
        <v>-0.5</v>
      </c>
      <c r="E6" s="17" t="n">
        <v>-1</v>
      </c>
      <c r="F6" s="17" t="n">
        <v>1</v>
      </c>
      <c r="G6" s="17" t="n">
        <v>-1</v>
      </c>
      <c r="H6" s="17" t="n"/>
    </row>
    <row r="7">
      <c r="A7" s="17" t="inlineStr">
        <is>
          <t>RM10</t>
        </is>
      </c>
      <c r="B7" s="17" t="n">
        <v>1</v>
      </c>
      <c r="C7" s="17" t="n">
        <v>-1</v>
      </c>
      <c r="D7" s="17" t="n">
        <v>-1</v>
      </c>
      <c r="E7" s="17" t="n">
        <v>1</v>
      </c>
      <c r="F7" s="17" t="n">
        <v>-2</v>
      </c>
      <c r="G7" s="17" t="n">
        <v>-1</v>
      </c>
      <c r="H7" s="17" t="n"/>
    </row>
    <row r="8">
      <c r="A8" s="17" t="inlineStr">
        <is>
          <t>RM11</t>
        </is>
      </c>
      <c r="B8" s="17" t="n">
        <v>1</v>
      </c>
      <c r="C8" s="17" t="n">
        <v>0</v>
      </c>
      <c r="D8" s="17" t="n">
        <v>-0.5</v>
      </c>
      <c r="E8" s="17" t="n">
        <v>0</v>
      </c>
      <c r="F8" s="17" t="n">
        <v>-1</v>
      </c>
      <c r="G8" s="17" t="n">
        <v>-1</v>
      </c>
      <c r="H8" s="17" t="n"/>
    </row>
    <row r="9">
      <c r="A9" s="17" t="inlineStr">
        <is>
          <t>RM12</t>
        </is>
      </c>
      <c r="B9" s="17" t="n">
        <v>1</v>
      </c>
      <c r="C9" s="17" t="n">
        <v>-2</v>
      </c>
      <c r="D9" s="17" t="n">
        <v>0.5</v>
      </c>
      <c r="E9" s="17" t="n">
        <v>-1</v>
      </c>
      <c r="F9" s="17" t="n">
        <v>1</v>
      </c>
      <c r="G9" s="17" t="n">
        <v>-1</v>
      </c>
      <c r="H9" s="17" t="n"/>
    </row>
    <row r="10">
      <c r="A10" s="17" t="inlineStr">
        <is>
          <t>RM13</t>
        </is>
      </c>
      <c r="B10" s="17" t="n">
        <v>1</v>
      </c>
      <c r="C10" s="17" t="n">
        <v>-1</v>
      </c>
      <c r="D10" s="17" t="n">
        <v>1</v>
      </c>
      <c r="E10" s="17" t="n">
        <v>-1</v>
      </c>
      <c r="F10" s="17" t="n">
        <v>2</v>
      </c>
      <c r="G10" s="17" t="n">
        <v>-1</v>
      </c>
      <c r="H10" s="17" t="n"/>
    </row>
    <row r="11">
      <c r="A11" s="17" t="inlineStr">
        <is>
          <t>RM14</t>
        </is>
      </c>
      <c r="B11" s="17" t="n">
        <v>1</v>
      </c>
      <c r="C11" s="17" t="n">
        <v>-2</v>
      </c>
      <c r="D11" s="17" t="n">
        <v>1</v>
      </c>
      <c r="E11" s="17" t="n">
        <v>-1</v>
      </c>
      <c r="F11" s="17" t="n">
        <v>1</v>
      </c>
      <c r="G11" s="17" t="n">
        <v>-1</v>
      </c>
      <c r="H11" s="17" t="n"/>
    </row>
    <row r="12">
      <c r="A12" s="17" t="inlineStr">
        <is>
          <t>RM15</t>
        </is>
      </c>
      <c r="B12" s="17" t="n">
        <v>1</v>
      </c>
      <c r="C12" s="17" t="n">
        <v>-0.5</v>
      </c>
      <c r="D12" s="17" t="n">
        <v>1</v>
      </c>
      <c r="E12" s="17" t="n">
        <v>-0.5</v>
      </c>
      <c r="F12" s="17" t="n">
        <v>0.5</v>
      </c>
      <c r="G12" s="17" t="n">
        <v>-0.5</v>
      </c>
      <c r="H12" s="17" t="n"/>
    </row>
    <row r="13">
      <c r="A13" s="17" t="inlineStr">
        <is>
          <t>RM16</t>
        </is>
      </c>
      <c r="B13" s="17" t="n">
        <v>1</v>
      </c>
      <c r="C13" s="17" t="n">
        <v>1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/>
    </row>
    <row r="14">
      <c r="A14" s="17" t="inlineStr">
        <is>
          <t>RM17</t>
        </is>
      </c>
      <c r="B14" s="17" t="n">
        <v>1</v>
      </c>
      <c r="C14" s="17" t="n">
        <v>-1</v>
      </c>
      <c r="D14" s="17" t="n">
        <v>1</v>
      </c>
      <c r="E14" s="17" t="n">
        <v>0</v>
      </c>
      <c r="F14" s="17" t="n">
        <v>1</v>
      </c>
      <c r="G14" s="17" t="n">
        <v>-1</v>
      </c>
      <c r="H14" s="17" t="n"/>
    </row>
    <row r="15">
      <c r="A15" s="17" t="inlineStr">
        <is>
          <t>RM18</t>
        </is>
      </c>
      <c r="B15" s="17" t="n">
        <v>1</v>
      </c>
      <c r="C15" s="17" t="n">
        <v>1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/>
    </row>
    <row r="16">
      <c r="A16" s="17" t="inlineStr">
        <is>
          <t>RM19</t>
        </is>
      </c>
      <c r="B16" s="17" t="n">
        <v>1</v>
      </c>
      <c r="C16" s="17" t="n">
        <v>-1</v>
      </c>
      <c r="D16" s="17" t="n">
        <v>-1</v>
      </c>
      <c r="E16" s="17" t="n">
        <v>-1</v>
      </c>
      <c r="F16" s="17" t="n">
        <v>-1</v>
      </c>
      <c r="G16" s="17" t="n">
        <v>0</v>
      </c>
      <c r="H16" s="17" t="n"/>
    </row>
    <row r="17">
      <c r="A17" s="17" t="inlineStr">
        <is>
          <t>RM20</t>
        </is>
      </c>
      <c r="B17" s="17" t="n">
        <v>1</v>
      </c>
      <c r="C17" s="17" t="n">
        <v>-1</v>
      </c>
      <c r="D17" s="17" t="n">
        <v>0.5</v>
      </c>
      <c r="E17" s="17" t="n">
        <v>0</v>
      </c>
      <c r="F17" s="17" t="n">
        <v>0</v>
      </c>
      <c r="G17" s="17" t="n">
        <v>1</v>
      </c>
      <c r="H17" s="17" t="n"/>
    </row>
    <row r="18">
      <c r="A18" s="17" t="inlineStr">
        <is>
          <t>RM21</t>
        </is>
      </c>
      <c r="B18" s="17" t="n">
        <v>1</v>
      </c>
      <c r="C18" s="17" t="n">
        <v>1</v>
      </c>
      <c r="D18" s="17" t="n">
        <v>0</v>
      </c>
      <c r="E18" s="17" t="n">
        <v>0</v>
      </c>
      <c r="F18" s="17" t="n">
        <v>0</v>
      </c>
      <c r="G18" s="17" t="n">
        <v>1</v>
      </c>
      <c r="H18" s="17" t="n"/>
    </row>
    <row r="19">
      <c r="A19" s="17" t="inlineStr">
        <is>
          <t>RM23</t>
        </is>
      </c>
      <c r="B19" s="17" t="n">
        <v>1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/>
    </row>
    <row r="20">
      <c r="A20" s="17" t="inlineStr">
        <is>
          <t>RM24</t>
        </is>
      </c>
      <c r="B20" s="17" t="n">
        <v>1</v>
      </c>
      <c r="C20" s="17" t="n">
        <v>-0.5</v>
      </c>
      <c r="D20" s="17" t="n">
        <v>0</v>
      </c>
      <c r="E20" s="17" t="n">
        <v>0</v>
      </c>
      <c r="F20" s="17" t="n">
        <v>1</v>
      </c>
      <c r="G20" s="17" t="n">
        <v>0</v>
      </c>
      <c r="H20" s="17" t="n"/>
    </row>
    <row r="21">
      <c r="A21" s="17" t="inlineStr">
        <is>
          <t>B01_bench</t>
        </is>
      </c>
      <c r="B21" s="17" t="n">
        <v>1</v>
      </c>
      <c r="C21" s="17" t="n">
        <v>-1</v>
      </c>
      <c r="D21" s="17" t="n">
        <v>-1</v>
      </c>
      <c r="E21" s="17" t="n">
        <v>1</v>
      </c>
      <c r="F21" s="17" t="n">
        <v>-3</v>
      </c>
      <c r="G21" s="17" t="n">
        <v>2</v>
      </c>
      <c r="H21" s="17" t="n"/>
    </row>
    <row r="23">
      <c r="A23" s="18" t="inlineStr">
        <is>
          <t>scale -3..+3 vs 목표(식물성우유). rice flavor=과거 aroma·flavor 평균(근사). creaminess=신규(과거 데이터 없음).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baseColWidth="8" defaultColWidth="8.7109375" defaultRowHeight="15"/>
  <cols>
    <col width="15" customWidth="1" min="1" max="6"/>
    <col width="13" customWidth="1" min="7" max="20"/>
  </cols>
  <sheetData>
    <row r="1" ht="30" customHeight="1">
      <c r="A1" s="4" t="inlineStr">
        <is>
          <t>sample_id</t>
        </is>
      </c>
      <c r="B1" s="4" t="inlineStr">
        <is>
          <t>project</t>
        </is>
      </c>
      <c r="C1" s="4" t="inlineStr">
        <is>
          <t>is_benchmark</t>
        </is>
      </c>
      <c r="D1" s="4" t="inlineStr">
        <is>
          <t>structure_class</t>
        </is>
      </c>
      <c r="E1" s="4" t="inlineStr">
        <is>
          <t>date</t>
        </is>
      </c>
      <c r="F1" s="4" t="inlineStr">
        <is>
          <t>notes</t>
        </is>
      </c>
      <c r="G1" s="11" t="inlineStr">
        <is>
          <t>ing_rice extract</t>
        </is>
      </c>
      <c r="H1" s="11" t="inlineStr">
        <is>
          <t>ing_refined palm oil</t>
        </is>
      </c>
      <c r="I1" s="11" t="inlineStr">
        <is>
          <t>ing_sunflower oil</t>
        </is>
      </c>
      <c r="J1" s="11" t="inlineStr">
        <is>
          <t>ing__allulose_powder</t>
        </is>
      </c>
      <c r="K1" s="11" t="inlineStr">
        <is>
          <t>ing__rice bran_eulsifier</t>
        </is>
      </c>
      <c r="L1" s="11" t="inlineStr">
        <is>
          <t>ing_lactic acid</t>
        </is>
      </c>
      <c r="M1" s="11" t="inlineStr">
        <is>
          <t>ing_salt</t>
        </is>
      </c>
      <c r="N1" s="11" t="inlineStr">
        <is>
          <t>ing_Vanila flavor</t>
        </is>
      </c>
      <c r="O1" s="11" t="inlineStr">
        <is>
          <t>ing_Arabic gum</t>
        </is>
      </c>
      <c r="P1" s="11" t="inlineStr">
        <is>
          <t>ing_emulaid</t>
        </is>
      </c>
      <c r="Q1" s="11" t="inlineStr">
        <is>
          <t>ing_Xanthan gum</t>
        </is>
      </c>
      <c r="R1" s="11" t="inlineStr">
        <is>
          <t>ing_stevia</t>
        </is>
      </c>
      <c r="S1" s="4" t="inlineStr">
        <is>
          <t>ing_sucrose_ester_s1670</t>
        </is>
      </c>
      <c r="T1" s="4" t="inlineStr">
        <is>
          <t>ing_citric_acid_anhydrous</t>
        </is>
      </c>
      <c r="U1" s="4" t="inlineStr">
        <is>
          <t>ing_dmg95</t>
        </is>
      </c>
      <c r="V1" s="11" t="inlineStr">
        <is>
          <t>ing_water</t>
        </is>
      </c>
      <c r="W1" s="4" t="inlineStr">
        <is>
          <t>total_check</t>
        </is>
      </c>
    </row>
    <row r="2">
      <c r="A2" s="5" t="inlineStr">
        <is>
          <t>B00_bench</t>
        </is>
      </c>
      <c r="B2" s="10" t="inlineStr">
        <is>
          <t>rice beverage</t>
        </is>
      </c>
      <c r="C2" s="5" t="inlineStr">
        <is>
          <t>yes</t>
        </is>
      </c>
      <c r="D2" s="5" t="inlineStr">
        <is>
          <t>SC.emulsion.ow.beverage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5">
        <f>SUM(G2:S2)</f>
        <v/>
      </c>
    </row>
    <row r="3">
      <c r="A3" s="10" t="inlineStr">
        <is>
          <t>RM1</t>
        </is>
      </c>
      <c r="B3" s="10" t="inlineStr">
        <is>
          <t>rice beverage</t>
        </is>
      </c>
      <c r="C3" s="7" t="inlineStr">
        <is>
          <t>no</t>
        </is>
      </c>
      <c r="D3" s="7" t="inlineStr">
        <is>
          <t>SC.emulsion.ow.beverage</t>
        </is>
      </c>
      <c r="G3" s="12" t="n">
        <v>100</v>
      </c>
      <c r="H3" s="12" t="n">
        <v>0</v>
      </c>
      <c r="I3" s="12" t="n">
        <v>15</v>
      </c>
      <c r="J3" s="12" t="n">
        <v>40</v>
      </c>
      <c r="K3" s="12" t="n">
        <v>2</v>
      </c>
      <c r="L3" s="12" t="n">
        <v>2.5</v>
      </c>
      <c r="M3" s="12" t="n">
        <v>0.8</v>
      </c>
      <c r="N3" s="12" t="n">
        <v>5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>
        <f>1000-SUM(G3:W3)</f>
        <v/>
      </c>
      <c r="W3" s="7">
        <f>SUM(G3:X3)</f>
        <v/>
      </c>
    </row>
    <row r="4">
      <c r="A4" s="10" t="inlineStr">
        <is>
          <t>RM2</t>
        </is>
      </c>
      <c r="B4" s="10" t="inlineStr">
        <is>
          <t>rice beverage</t>
        </is>
      </c>
      <c r="C4" s="7" t="inlineStr">
        <is>
          <t>no</t>
        </is>
      </c>
      <c r="D4" s="7" t="inlineStr">
        <is>
          <t>SC.emulsion.ow.beverage</t>
        </is>
      </c>
      <c r="G4" s="12" t="n">
        <v>100</v>
      </c>
      <c r="H4" s="12" t="n">
        <v>0</v>
      </c>
      <c r="I4" s="12" t="n">
        <v>10</v>
      </c>
      <c r="J4" s="12" t="n">
        <v>40</v>
      </c>
      <c r="K4" s="12" t="n">
        <v>2</v>
      </c>
      <c r="L4" s="12" t="n">
        <v>2.5</v>
      </c>
      <c r="M4" s="12" t="n">
        <v>0.8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>
        <f>1000-SUM(G4:W4)</f>
        <v/>
      </c>
      <c r="W4" s="7">
        <f>SUM(G4:X4)</f>
        <v/>
      </c>
    </row>
    <row r="5">
      <c r="A5" s="10" t="inlineStr">
        <is>
          <t>RM4</t>
        </is>
      </c>
      <c r="B5" s="10" t="inlineStr">
        <is>
          <t>rice beverage</t>
        </is>
      </c>
      <c r="C5" s="7" t="inlineStr">
        <is>
          <t>no</t>
        </is>
      </c>
      <c r="D5" s="7" t="inlineStr">
        <is>
          <t>SC.emulsion.ow.beverage</t>
        </is>
      </c>
      <c r="G5" s="12" t="n">
        <v>100</v>
      </c>
      <c r="H5" s="12" t="n">
        <v>0</v>
      </c>
      <c r="I5" s="12" t="n">
        <v>10</v>
      </c>
      <c r="J5" s="12" t="n">
        <v>40</v>
      </c>
      <c r="K5" s="12" t="n">
        <v>2</v>
      </c>
      <c r="L5" s="12" t="n">
        <v>2.5</v>
      </c>
      <c r="M5" s="12" t="n">
        <v>0.8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>
        <f>1000-SUM(G5:W5)</f>
        <v/>
      </c>
      <c r="W5" s="7">
        <f>SUM(G5:X5)</f>
        <v/>
      </c>
    </row>
    <row r="6">
      <c r="A6" s="10" t="inlineStr">
        <is>
          <t>RM9</t>
        </is>
      </c>
      <c r="B6" s="10" t="inlineStr">
        <is>
          <t>rice beverage</t>
        </is>
      </c>
      <c r="C6" s="7" t="inlineStr">
        <is>
          <t>no</t>
        </is>
      </c>
      <c r="D6" s="7" t="inlineStr">
        <is>
          <t>SC.emulsion.ow.beverage</t>
        </is>
      </c>
      <c r="G6" s="12" t="n">
        <v>100</v>
      </c>
      <c r="H6" s="12" t="n">
        <v>10</v>
      </c>
      <c r="I6" s="12" t="n">
        <v>0</v>
      </c>
      <c r="J6" s="12" t="n">
        <v>40</v>
      </c>
      <c r="K6" s="12" t="n">
        <v>2</v>
      </c>
      <c r="L6" s="12" t="n">
        <v>2.5</v>
      </c>
      <c r="M6" s="12" t="n">
        <v>0.8</v>
      </c>
      <c r="N6" s="12" t="n">
        <v>5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>
        <f>1000-SUM(G6:W6)</f>
        <v/>
      </c>
      <c r="W6" s="7">
        <f>SUM(G6:X6)</f>
        <v/>
      </c>
    </row>
    <row r="7">
      <c r="A7" s="10" t="inlineStr">
        <is>
          <t>RM10</t>
        </is>
      </c>
      <c r="B7" s="10" t="inlineStr">
        <is>
          <t>rice beverage</t>
        </is>
      </c>
      <c r="C7" s="7" t="inlineStr">
        <is>
          <t>no</t>
        </is>
      </c>
      <c r="D7" s="7" t="inlineStr">
        <is>
          <t>SC.emulsion.ow.beverage</t>
        </is>
      </c>
      <c r="G7" s="12" t="n">
        <v>100</v>
      </c>
      <c r="H7" s="12" t="n">
        <v>10</v>
      </c>
      <c r="I7" s="12" t="n">
        <v>0</v>
      </c>
      <c r="J7" s="12" t="n">
        <v>40</v>
      </c>
      <c r="K7" s="12" t="n">
        <v>4</v>
      </c>
      <c r="L7" s="12" t="n">
        <v>2.5</v>
      </c>
      <c r="M7" s="12" t="n">
        <v>0.8</v>
      </c>
      <c r="N7" s="12" t="n">
        <v>5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>
        <f>1000-SUM(G7:W7)</f>
        <v/>
      </c>
      <c r="W7" s="7">
        <f>SUM(G7:X7)</f>
        <v/>
      </c>
    </row>
    <row r="8">
      <c r="A8" s="10" t="inlineStr">
        <is>
          <t>RM11</t>
        </is>
      </c>
      <c r="B8" s="10" t="inlineStr">
        <is>
          <t>rice beverage</t>
        </is>
      </c>
      <c r="C8" s="7" t="inlineStr">
        <is>
          <t>no</t>
        </is>
      </c>
      <c r="D8" s="7" t="inlineStr">
        <is>
          <t>SC.emulsion.ow.beverage</t>
        </is>
      </c>
      <c r="G8" s="12" t="n">
        <v>100</v>
      </c>
      <c r="H8" s="12" t="n">
        <v>10</v>
      </c>
      <c r="I8" s="12" t="n">
        <v>0</v>
      </c>
      <c r="J8" s="12" t="n">
        <v>40</v>
      </c>
      <c r="K8" s="12" t="n">
        <v>4</v>
      </c>
      <c r="L8" s="12" t="n">
        <v>2.5</v>
      </c>
      <c r="M8" s="12" t="n">
        <v>0.8</v>
      </c>
      <c r="N8" s="12" t="n">
        <v>5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>
        <f>1000-SUM(G8:W8)</f>
        <v/>
      </c>
      <c r="W8" s="7">
        <f>SUM(G8:X8)</f>
        <v/>
      </c>
    </row>
    <row r="9">
      <c r="A9" s="10" t="inlineStr">
        <is>
          <t>RM12</t>
        </is>
      </c>
      <c r="B9" s="10" t="inlineStr">
        <is>
          <t>rice beverage</t>
        </is>
      </c>
      <c r="C9" s="7" t="inlineStr">
        <is>
          <t>no</t>
        </is>
      </c>
      <c r="D9" s="7" t="inlineStr">
        <is>
          <t>SC.emulsion.ow.beverage</t>
        </is>
      </c>
      <c r="G9" s="12" t="n">
        <v>100</v>
      </c>
      <c r="H9" s="12" t="n">
        <v>0</v>
      </c>
      <c r="I9" s="12" t="n">
        <v>10</v>
      </c>
      <c r="J9" s="12" t="n">
        <v>40</v>
      </c>
      <c r="K9" s="12" t="n">
        <v>4</v>
      </c>
      <c r="L9" s="12" t="n">
        <v>2.5</v>
      </c>
      <c r="M9" s="12" t="n">
        <v>0.8</v>
      </c>
      <c r="N9" s="12" t="n">
        <v>5</v>
      </c>
      <c r="O9" s="12" t="n">
        <v>10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>
        <f>1000-SUM(G9:W9)</f>
        <v/>
      </c>
      <c r="W9" s="7">
        <f>SUM(G9:X9)</f>
        <v/>
      </c>
    </row>
    <row r="10">
      <c r="A10" s="10" t="inlineStr">
        <is>
          <t>RM13</t>
        </is>
      </c>
      <c r="B10" s="10" t="inlineStr">
        <is>
          <t>rice beverage</t>
        </is>
      </c>
      <c r="C10" s="7" t="inlineStr">
        <is>
          <t>no</t>
        </is>
      </c>
      <c r="D10" s="7" t="inlineStr">
        <is>
          <t>SC.emulsion.ow.beverage</t>
        </is>
      </c>
      <c r="G10" s="12" t="n">
        <v>100</v>
      </c>
      <c r="H10" s="12" t="n">
        <v>10</v>
      </c>
      <c r="I10" s="12" t="n">
        <v>0</v>
      </c>
      <c r="J10" s="12" t="n">
        <v>40</v>
      </c>
      <c r="K10" s="12" t="n">
        <v>4</v>
      </c>
      <c r="L10" s="12" t="n">
        <v>2.5</v>
      </c>
      <c r="M10" s="12" t="n">
        <v>0.8</v>
      </c>
      <c r="N10" s="12" t="n">
        <v>5</v>
      </c>
      <c r="O10" s="12" t="n">
        <v>10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>
        <f>1000-SUM(G10:W10)</f>
        <v/>
      </c>
      <c r="W10" s="7">
        <f>SUM(G10:X10)</f>
        <v/>
      </c>
    </row>
    <row r="11">
      <c r="A11" s="10" t="inlineStr">
        <is>
          <t>RM14</t>
        </is>
      </c>
      <c r="B11" s="10" t="inlineStr">
        <is>
          <t>rice beverage</t>
        </is>
      </c>
      <c r="C11" s="7" t="inlineStr">
        <is>
          <t>no</t>
        </is>
      </c>
      <c r="D11" s="7" t="inlineStr">
        <is>
          <t>SC.emulsion.ow.beverage</t>
        </is>
      </c>
      <c r="G11" s="12" t="n">
        <v>100</v>
      </c>
      <c r="H11" s="12" t="n">
        <v>10</v>
      </c>
      <c r="I11" s="12" t="n">
        <v>0</v>
      </c>
      <c r="J11" s="12" t="n">
        <v>40</v>
      </c>
      <c r="K11" s="12" t="n">
        <v>4</v>
      </c>
      <c r="L11" s="12" t="n">
        <v>2.5</v>
      </c>
      <c r="M11" s="12" t="n">
        <v>0.8</v>
      </c>
      <c r="N11" s="12" t="n">
        <v>5</v>
      </c>
      <c r="O11" s="12" t="n">
        <v>10</v>
      </c>
      <c r="P11" s="12" t="n">
        <v>5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>
        <f>1000-SUM(G11:W11)</f>
        <v/>
      </c>
      <c r="W11" s="7">
        <f>SUM(G11:X11)</f>
        <v/>
      </c>
    </row>
    <row r="12">
      <c r="A12" s="10" t="inlineStr">
        <is>
          <t>RM15</t>
        </is>
      </c>
      <c r="B12" s="10" t="inlineStr">
        <is>
          <t>rice beverage</t>
        </is>
      </c>
      <c r="C12" s="7" t="inlineStr">
        <is>
          <t>no</t>
        </is>
      </c>
      <c r="D12" s="7" t="inlineStr">
        <is>
          <t>SC.emulsion.ow.beverage</t>
        </is>
      </c>
      <c r="G12" s="12" t="n">
        <v>120</v>
      </c>
      <c r="H12" s="12" t="n">
        <v>10</v>
      </c>
      <c r="I12" s="12" t="n">
        <v>0</v>
      </c>
      <c r="J12" s="12" t="n">
        <v>40</v>
      </c>
      <c r="K12" s="12" t="n">
        <v>4</v>
      </c>
      <c r="L12" s="12" t="n">
        <v>2.5</v>
      </c>
      <c r="M12" s="12" t="n">
        <v>1.2</v>
      </c>
      <c r="N12" s="12" t="n">
        <v>5</v>
      </c>
      <c r="O12" s="12" t="n">
        <v>10</v>
      </c>
      <c r="P12" s="12" t="n">
        <v>6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>
        <f>1000-SUM(G12:W12)</f>
        <v/>
      </c>
      <c r="W12" s="7">
        <f>SUM(G12:X12)</f>
        <v/>
      </c>
    </row>
    <row r="13">
      <c r="A13" s="10" t="inlineStr">
        <is>
          <t>RM16</t>
        </is>
      </c>
      <c r="B13" s="10" t="inlineStr">
        <is>
          <t>rice beverage</t>
        </is>
      </c>
      <c r="C13" s="7" t="inlineStr">
        <is>
          <t>no</t>
        </is>
      </c>
      <c r="D13" s="7" t="inlineStr">
        <is>
          <t>SC.emulsion.ow.beverage</t>
        </is>
      </c>
      <c r="G13" s="12" t="n">
        <v>100</v>
      </c>
      <c r="H13" s="12" t="n">
        <v>10</v>
      </c>
      <c r="I13" s="12" t="n">
        <v>0</v>
      </c>
      <c r="J13" s="12" t="n">
        <v>40</v>
      </c>
      <c r="K13" s="12" t="n">
        <v>4</v>
      </c>
      <c r="L13" s="12" t="n">
        <v>2.5</v>
      </c>
      <c r="M13" s="12" t="n">
        <v>1.2</v>
      </c>
      <c r="N13" s="12" t="n">
        <v>5</v>
      </c>
      <c r="O13" s="12" t="n">
        <v>10</v>
      </c>
      <c r="P13" s="12" t="n">
        <v>6</v>
      </c>
      <c r="Q13" s="12" t="n">
        <v>1</v>
      </c>
      <c r="R13" s="12" t="n">
        <v>0.1</v>
      </c>
      <c r="S13" s="12" t="n">
        <v>0</v>
      </c>
      <c r="T13" s="12" t="n">
        <v>0</v>
      </c>
      <c r="U13" s="12" t="n">
        <v>0</v>
      </c>
      <c r="V13">
        <f>1000-SUM(G13:W13)</f>
        <v/>
      </c>
      <c r="W13" s="7">
        <f>SUM(G13:X13)</f>
        <v/>
      </c>
    </row>
    <row r="14">
      <c r="A14" s="10" t="inlineStr">
        <is>
          <t>RM17</t>
        </is>
      </c>
      <c r="B14" s="10" t="inlineStr">
        <is>
          <t>rice beverage</t>
        </is>
      </c>
      <c r="C14" s="7" t="inlineStr">
        <is>
          <t>no</t>
        </is>
      </c>
      <c r="D14" s="7" t="inlineStr">
        <is>
          <t>SC.emulsion.ow.beverage</t>
        </is>
      </c>
      <c r="G14" s="12" t="n">
        <v>100</v>
      </c>
      <c r="H14" s="12" t="n">
        <v>10</v>
      </c>
      <c r="I14" s="12" t="n">
        <v>0</v>
      </c>
      <c r="J14" s="12" t="n">
        <v>40</v>
      </c>
      <c r="K14" s="12" t="n">
        <v>4</v>
      </c>
      <c r="L14" s="12" t="n">
        <v>2.5</v>
      </c>
      <c r="M14" s="12" t="n">
        <v>1.2</v>
      </c>
      <c r="N14" s="12" t="n">
        <v>5</v>
      </c>
      <c r="O14" s="12" t="n">
        <v>10</v>
      </c>
      <c r="P14" s="12" t="n">
        <v>6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>
        <f>1000-SUM(G14:W14)</f>
        <v/>
      </c>
      <c r="W14" s="7">
        <f>SUM(G14:X14)</f>
        <v/>
      </c>
    </row>
    <row r="15">
      <c r="A15" s="10" t="inlineStr">
        <is>
          <t>RM18</t>
        </is>
      </c>
      <c r="B15" s="10" t="inlineStr">
        <is>
          <t>rice beverage</t>
        </is>
      </c>
      <c r="C15" s="7" t="inlineStr">
        <is>
          <t>no</t>
        </is>
      </c>
      <c r="D15" s="7" t="inlineStr">
        <is>
          <t>SC.emulsion.ow.beverage</t>
        </is>
      </c>
      <c r="G15" s="12" t="n">
        <v>100</v>
      </c>
      <c r="H15" s="12" t="n">
        <v>10</v>
      </c>
      <c r="I15" s="12" t="n">
        <v>0</v>
      </c>
      <c r="J15" s="12" t="n">
        <v>45</v>
      </c>
      <c r="K15" s="12" t="n">
        <v>4</v>
      </c>
      <c r="L15" s="12" t="n">
        <v>2.5</v>
      </c>
      <c r="M15" s="12" t="n">
        <v>1.2</v>
      </c>
      <c r="N15" s="12" t="n">
        <v>5</v>
      </c>
      <c r="O15" s="12" t="n">
        <v>8</v>
      </c>
      <c r="P15" s="12" t="n">
        <v>6</v>
      </c>
      <c r="Q15" s="12" t="n">
        <v>0.8</v>
      </c>
      <c r="R15" s="12" t="n">
        <v>0</v>
      </c>
      <c r="S15" s="12" t="n">
        <v>0</v>
      </c>
      <c r="T15" s="12" t="n">
        <v>0</v>
      </c>
      <c r="U15" s="12" t="n">
        <v>0</v>
      </c>
      <c r="V15">
        <f>1000-SUM(G15:W15)</f>
        <v/>
      </c>
      <c r="W15" s="7">
        <f>SUM(G15:X15)</f>
        <v/>
      </c>
    </row>
    <row r="16">
      <c r="A16" s="10" t="inlineStr">
        <is>
          <t>RM19</t>
        </is>
      </c>
      <c r="B16" s="10" t="inlineStr">
        <is>
          <t>rice beverage</t>
        </is>
      </c>
      <c r="C16" s="7" t="inlineStr">
        <is>
          <t>no</t>
        </is>
      </c>
      <c r="D16" s="7" t="inlineStr">
        <is>
          <t>SC.emulsion.ow.beverage</t>
        </is>
      </c>
      <c r="G16" s="12" t="n">
        <v>100</v>
      </c>
      <c r="H16" s="12" t="n">
        <v>12</v>
      </c>
      <c r="I16" s="12" t="n">
        <v>0</v>
      </c>
      <c r="J16" s="12" t="n">
        <v>40</v>
      </c>
      <c r="K16" s="12" t="n">
        <v>4</v>
      </c>
      <c r="L16" s="12" t="n">
        <v>2.5</v>
      </c>
      <c r="M16" s="12" t="n">
        <v>1.2</v>
      </c>
      <c r="N16" s="12" t="n">
        <v>3.5</v>
      </c>
      <c r="O16" s="12" t="n">
        <v>8</v>
      </c>
      <c r="P16" s="12" t="n">
        <v>6</v>
      </c>
      <c r="Q16" s="12" t="n">
        <v>0.8</v>
      </c>
      <c r="R16" s="12" t="n">
        <v>0</v>
      </c>
      <c r="S16" s="12" t="n">
        <v>0</v>
      </c>
      <c r="T16" s="12" t="n">
        <v>0</v>
      </c>
      <c r="U16" s="12" t="n">
        <v>0</v>
      </c>
      <c r="V16">
        <f>1000-SUM(G16:W16)</f>
        <v/>
      </c>
      <c r="W16" s="7">
        <f>SUM(G16:X16)</f>
        <v/>
      </c>
    </row>
    <row r="17">
      <c r="A17" s="10" t="inlineStr">
        <is>
          <t>RM20</t>
        </is>
      </c>
      <c r="B17" s="10" t="inlineStr">
        <is>
          <t>rice beverage</t>
        </is>
      </c>
      <c r="C17" s="7" t="inlineStr">
        <is>
          <t>no</t>
        </is>
      </c>
      <c r="D17" s="7" t="inlineStr">
        <is>
          <t>SC.emulsion.ow.beverage</t>
        </is>
      </c>
      <c r="G17" s="12" t="n">
        <v>100</v>
      </c>
      <c r="H17" s="12" t="n">
        <v>10</v>
      </c>
      <c r="I17" s="12" t="n">
        <v>0</v>
      </c>
      <c r="J17" s="12" t="n">
        <v>45</v>
      </c>
      <c r="K17" s="12" t="n">
        <v>4</v>
      </c>
      <c r="L17" s="12" t="n">
        <v>2.5</v>
      </c>
      <c r="M17" s="12" t="n">
        <v>1.2</v>
      </c>
      <c r="N17" s="12" t="n">
        <v>5</v>
      </c>
      <c r="O17" s="12" t="n">
        <v>6</v>
      </c>
      <c r="P17" s="12" t="n">
        <v>6</v>
      </c>
      <c r="Q17" s="12" t="n">
        <v>0.6</v>
      </c>
      <c r="R17" s="12" t="n">
        <v>0</v>
      </c>
      <c r="S17" s="12" t="n">
        <v>0</v>
      </c>
      <c r="T17" s="12" t="n">
        <v>0</v>
      </c>
      <c r="U17" s="12" t="n">
        <v>0</v>
      </c>
      <c r="V17">
        <f>1000-SUM(G17:W17)</f>
        <v/>
      </c>
      <c r="W17" s="7">
        <f>SUM(G17:X17)</f>
        <v/>
      </c>
    </row>
    <row r="18">
      <c r="A18" s="10" t="inlineStr">
        <is>
          <t>RM21</t>
        </is>
      </c>
      <c r="B18" s="10" t="inlineStr">
        <is>
          <t>rice beverage</t>
        </is>
      </c>
      <c r="C18" s="7" t="inlineStr">
        <is>
          <t>no</t>
        </is>
      </c>
      <c r="D18" s="7" t="inlineStr">
        <is>
          <t>SC.emulsion.ow.beverage</t>
        </is>
      </c>
      <c r="G18" s="12" t="n">
        <v>100</v>
      </c>
      <c r="H18" s="12" t="n">
        <v>10</v>
      </c>
      <c r="I18" s="12" t="n">
        <v>0</v>
      </c>
      <c r="J18" s="12" t="n">
        <v>40</v>
      </c>
      <c r="K18" s="12" t="n">
        <v>4</v>
      </c>
      <c r="L18" s="12" t="n">
        <v>2.5</v>
      </c>
      <c r="M18" s="12" t="n">
        <v>1.2</v>
      </c>
      <c r="N18" s="12" t="n">
        <v>5</v>
      </c>
      <c r="O18" s="12" t="n">
        <v>6</v>
      </c>
      <c r="P18" s="12" t="n">
        <v>6</v>
      </c>
      <c r="Q18" s="12" t="n">
        <v>0.6</v>
      </c>
      <c r="R18" s="12" t="n">
        <v>0</v>
      </c>
      <c r="S18" s="12" t="n">
        <v>0</v>
      </c>
      <c r="T18" s="12" t="n">
        <v>0</v>
      </c>
      <c r="U18" s="12" t="n">
        <v>0</v>
      </c>
      <c r="V18">
        <f>1000-SUM(G18:W18)</f>
        <v/>
      </c>
      <c r="W18" s="7">
        <f>SUM(G18:X18)</f>
        <v/>
      </c>
    </row>
    <row r="19">
      <c r="A19" s="7" t="inlineStr">
        <is>
          <t>RM23</t>
        </is>
      </c>
      <c r="B19" s="10" t="inlineStr">
        <is>
          <t>rice beverage</t>
        </is>
      </c>
      <c r="C19" s="7" t="inlineStr">
        <is>
          <t>no</t>
        </is>
      </c>
      <c r="D19" s="7" t="inlineStr">
        <is>
          <t>SC.emulsion.ow.beverage</t>
        </is>
      </c>
      <c r="G19" s="12" t="n">
        <v>100</v>
      </c>
      <c r="H19" s="12" t="n">
        <v>10</v>
      </c>
      <c r="I19" s="12" t="n">
        <v>0</v>
      </c>
      <c r="J19" s="12" t="n">
        <v>42.5</v>
      </c>
      <c r="K19" s="12" t="n">
        <v>4</v>
      </c>
      <c r="L19" s="12" t="n">
        <v>2.5</v>
      </c>
      <c r="M19" s="12" t="n">
        <v>1.2</v>
      </c>
      <c r="N19" s="12" t="n">
        <v>5</v>
      </c>
      <c r="O19" s="12" t="n">
        <v>6</v>
      </c>
      <c r="P19" s="12" t="n">
        <v>6</v>
      </c>
      <c r="Q19" s="12" t="n">
        <v>0.6</v>
      </c>
      <c r="R19" s="12" t="n">
        <v>0</v>
      </c>
      <c r="S19" s="12" t="n">
        <v>0</v>
      </c>
      <c r="T19" s="12" t="n">
        <v>0</v>
      </c>
      <c r="U19" s="12" t="n">
        <v>0</v>
      </c>
      <c r="V19">
        <f>1000-SUM(G19:W19)</f>
        <v/>
      </c>
      <c r="W19" s="7">
        <f>SUM(G19:X19)</f>
        <v/>
      </c>
    </row>
    <row r="20">
      <c r="A20" s="7" t="inlineStr">
        <is>
          <t>RM24</t>
        </is>
      </c>
      <c r="B20" s="10" t="inlineStr">
        <is>
          <t>rice beverage</t>
        </is>
      </c>
      <c r="C20" s="7" t="inlineStr">
        <is>
          <t>no</t>
        </is>
      </c>
      <c r="D20" s="7" t="inlineStr">
        <is>
          <t>SC.emulsion.ow.beverage</t>
        </is>
      </c>
      <c r="G20" s="12" t="n">
        <v>100</v>
      </c>
      <c r="H20" s="12" t="n">
        <v>9</v>
      </c>
      <c r="I20" s="12" t="n">
        <v>0</v>
      </c>
      <c r="J20" s="12" t="n">
        <v>40</v>
      </c>
      <c r="K20" s="12" t="n">
        <v>4</v>
      </c>
      <c r="L20" s="12" t="n">
        <v>2.5</v>
      </c>
      <c r="M20" s="12" t="n">
        <v>1.2</v>
      </c>
      <c r="N20" s="12" t="n">
        <v>5</v>
      </c>
      <c r="O20" s="12" t="n">
        <v>6</v>
      </c>
      <c r="P20" s="12" t="n">
        <v>6</v>
      </c>
      <c r="Q20" s="12" t="n">
        <v>0.6</v>
      </c>
      <c r="R20" s="12" t="n">
        <v>0</v>
      </c>
      <c r="S20" s="12" t="n">
        <v>0</v>
      </c>
      <c r="T20" s="12" t="n">
        <v>0</v>
      </c>
      <c r="U20" s="12" t="n">
        <v>0</v>
      </c>
      <c r="V20">
        <f>1000-SUM(G20:W20)</f>
        <v/>
      </c>
      <c r="W20" s="7">
        <f>SUM(G20:X20)</f>
        <v/>
      </c>
    </row>
    <row r="21">
      <c r="V21">
        <f>1000-SUM(G21:W21)</f>
        <v/>
      </c>
      <c r="W21" s="7">
        <f>SUM(G21:X21)</f>
        <v/>
      </c>
    </row>
    <row r="22">
      <c r="V22">
        <f>1000-SUM(G22:W22)</f>
        <v/>
      </c>
      <c r="W22" s="7">
        <f>SUM(G22:X22)</f>
        <v/>
      </c>
    </row>
    <row r="23">
      <c r="V23">
        <f>1000-SUM(G23:W23)</f>
        <v/>
      </c>
      <c r="W23" s="7">
        <f>SUM(G23:X23)</f>
        <v/>
      </c>
    </row>
    <row r="29">
      <c r="A29" s="3" t="inlineStr">
        <is>
          <t>tip: total_check should equal 100 (or your batch basis).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" sqref="E3"/>
    </sheetView>
  </sheetViews>
  <sheetFormatPr baseColWidth="8" defaultColWidth="8.7109375" defaultRowHeight="15"/>
  <cols>
    <col width="15" customWidth="1" min="1" max="9"/>
  </cols>
  <sheetData>
    <row r="1" ht="30" customHeight="1">
      <c r="A1" s="8" t="inlineStr">
        <is>
          <t>sample_id</t>
        </is>
      </c>
      <c r="B1" s="8" t="inlineStr">
        <is>
          <t>rep</t>
        </is>
      </c>
      <c r="C1" s="8" t="inlineStr">
        <is>
          <t>instr__viscosity_cP</t>
        </is>
      </c>
      <c r="D1" s="8" t="inlineStr">
        <is>
          <t>instr__brix</t>
        </is>
      </c>
      <c r="E1" s="8" t="inlineStr">
        <is>
          <t>instr__pH</t>
        </is>
      </c>
      <c r="F1" s="8" t="inlineStr">
        <is>
          <t>instr__turbidity_NTU</t>
        </is>
      </c>
      <c r="G1" s="8" t="inlineStr">
        <is>
          <t>instr__density</t>
        </is>
      </c>
      <c r="H1" s="8" t="inlineStr">
        <is>
          <t>instr__extra1</t>
        </is>
      </c>
      <c r="I1" s="8" t="inlineStr">
        <is>
          <t>instr__extra2</t>
        </is>
      </c>
    </row>
    <row r="2">
      <c r="A2" s="7" t="inlineStr">
        <is>
          <t>RM24</t>
        </is>
      </c>
      <c r="B2" s="7" t="n">
        <v>1</v>
      </c>
      <c r="E2" t="n">
        <v>6.4</v>
      </c>
    </row>
    <row r="3">
      <c r="A3" s="7" t="n"/>
      <c r="B3" s="7" t="n"/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</row>
    <row r="13">
      <c r="A13" s="3" t="inlineStr">
        <is>
          <t>PLACEHOLDER: leave blank if no lab data. Engine auto-detects and uses columns that are filled.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topLeftCell="A12" zoomScaleNormal="100" workbookViewId="0">
      <selection activeCell="C23" sqref="C23"/>
    </sheetView>
  </sheetViews>
  <sheetFormatPr baseColWidth="8" defaultColWidth="8.7109375" defaultRowHeight="15"/>
  <cols>
    <col width="30" customWidth="1" min="1" max="3"/>
  </cols>
  <sheetData>
    <row r="1">
      <c r="A1" s="9" t="inlineStr">
        <is>
          <t>INGREDIENT MAP</t>
        </is>
      </c>
    </row>
    <row r="3" ht="30" customHeight="1">
      <c r="A3" s="4" t="inlineStr">
        <is>
          <t>column_name</t>
        </is>
      </c>
      <c r="B3" s="4" t="inlineStr">
        <is>
          <t>real_ingredient</t>
        </is>
      </c>
      <c r="C3" s="4" t="inlineStr">
        <is>
          <t>ontology_id (ING.*)</t>
        </is>
      </c>
    </row>
    <row r="4" ht="23.25" customHeight="1">
      <c r="A4" s="13" t="inlineStr">
        <is>
          <t>ing_rice extract</t>
        </is>
      </c>
      <c r="B4" t="inlineStr">
        <is>
          <t>water</t>
        </is>
      </c>
      <c r="C4" t="inlineStr">
        <is>
          <t>ING.rice_syrup</t>
        </is>
      </c>
    </row>
    <row r="5" ht="23.25" customHeight="1">
      <c r="A5" s="13" t="inlineStr">
        <is>
          <t>ing_refined palm oil</t>
        </is>
      </c>
      <c r="C5" t="inlineStr">
        <is>
          <t>ING.palm_oil</t>
        </is>
      </c>
    </row>
    <row r="6" ht="23.25" customHeight="1">
      <c r="A6" s="13" t="inlineStr">
        <is>
          <t>ing_sunflower oil</t>
        </is>
      </c>
      <c r="C6" t="inlineStr">
        <is>
          <t>ING.sunflower_oil</t>
        </is>
      </c>
    </row>
    <row r="7" ht="23.25" customHeight="1">
      <c r="A7" s="13" t="inlineStr">
        <is>
          <t>ing__allulose_powder</t>
        </is>
      </c>
      <c r="C7" t="inlineStr">
        <is>
          <t>ING.allulose</t>
        </is>
      </c>
    </row>
    <row r="8" ht="23.25" customHeight="1">
      <c r="A8" s="13" t="inlineStr">
        <is>
          <t>ing__rice bran_eulsifier</t>
        </is>
      </c>
      <c r="C8" t="inlineStr">
        <is>
          <t>ING.rice_bran_emulsifier</t>
        </is>
      </c>
    </row>
    <row r="9" ht="23.25" customHeight="1">
      <c r="A9" s="13" t="inlineStr">
        <is>
          <t>ing_lactic acid</t>
        </is>
      </c>
      <c r="C9" t="inlineStr">
        <is>
          <t>ING.lactic_acid</t>
        </is>
      </c>
    </row>
    <row r="10" ht="23.25" customHeight="1">
      <c r="A10" s="13" t="inlineStr">
        <is>
          <t>ing_salt</t>
        </is>
      </c>
      <c r="C10" t="inlineStr">
        <is>
          <t>ING.salt</t>
        </is>
      </c>
    </row>
    <row r="11" ht="23.25" customHeight="1">
      <c r="A11" s="13" t="inlineStr">
        <is>
          <t>ing_Vanila flavor</t>
        </is>
      </c>
      <c r="C11" t="inlineStr">
        <is>
          <t>ING.vanilla_extract</t>
        </is>
      </c>
    </row>
    <row r="12" ht="23.25" customHeight="1">
      <c r="A12" s="13" t="inlineStr">
        <is>
          <t>ing_Arabic gum</t>
        </is>
      </c>
      <c r="C12" t="inlineStr">
        <is>
          <t>ING.arabic_gum</t>
        </is>
      </c>
    </row>
    <row r="13" ht="23.25" customHeight="1">
      <c r="A13" s="13" t="inlineStr">
        <is>
          <t>ing_emulaid</t>
        </is>
      </c>
      <c r="C13" t="inlineStr">
        <is>
          <t>ING.emulaid</t>
        </is>
      </c>
    </row>
    <row r="14" ht="23.25" customHeight="1">
      <c r="A14" s="13" t="inlineStr">
        <is>
          <t>ing_Xanthan gum</t>
        </is>
      </c>
      <c r="C14" t="inlineStr">
        <is>
          <t>ING.xanthan_gum</t>
        </is>
      </c>
    </row>
    <row r="15" ht="23.25" customHeight="1">
      <c r="A15" s="13" t="inlineStr">
        <is>
          <t>ing_stevia</t>
        </is>
      </c>
      <c r="C15" t="inlineStr">
        <is>
          <t>ING.high_intensity_sweetener</t>
        </is>
      </c>
    </row>
    <row r="16" ht="23.25" customHeight="1">
      <c r="A16" s="13" t="inlineStr">
        <is>
          <t>ing_water</t>
        </is>
      </c>
    </row>
    <row r="17" ht="23.25" customHeight="1">
      <c r="A17" s="14" t="inlineStr">
        <is>
          <t>ing_sucrose_ester_s1670</t>
        </is>
      </c>
      <c r="C17" t="inlineStr">
        <is>
          <t>ING.sucrose_ester_s1670</t>
        </is>
      </c>
    </row>
    <row r="18" ht="23.25" customHeight="1">
      <c r="A18" s="14" t="inlineStr">
        <is>
          <t>ing_dmg95</t>
        </is>
      </c>
      <c r="C18" t="inlineStr">
        <is>
          <t>ING.dmg95</t>
        </is>
      </c>
    </row>
    <row r="19" ht="30" customHeight="1">
      <c r="A19" s="14" t="inlineStr">
        <is>
          <t>ing_citric_acid_anhydrous</t>
        </is>
      </c>
      <c r="C19" t="inlineStr">
        <is>
          <t>ING.citric_acid_anhydrous</t>
        </is>
      </c>
    </row>
    <row r="20">
      <c r="A20" s="14" t="inlineStr">
        <is>
          <t>ing_calcium_carbonate</t>
        </is>
      </c>
      <c r="C20" t="inlineStr">
        <is>
          <t>ING.calcium_carbonate</t>
        </is>
      </c>
    </row>
    <row r="21" ht="25.5" customHeight="1"/>
    <row r="23">
      <c r="A23" s="9" t="inlineStr">
        <is>
          <t>ATTRIBUTE MAP</t>
        </is>
      </c>
    </row>
    <row r="24">
      <c r="A24" s="4" t="inlineStr">
        <is>
          <t>column_name</t>
        </is>
      </c>
      <c r="B24" s="4" t="inlineStr">
        <is>
          <t>real_attribute</t>
        </is>
      </c>
      <c r="C24" s="4" t="inlineStr">
        <is>
          <t>ontology_id (SA.*)</t>
        </is>
      </c>
    </row>
    <row r="25">
      <c r="A25" s="13" t="inlineStr">
        <is>
          <t>sens_sweet</t>
        </is>
      </c>
      <c r="C25" t="inlineStr">
        <is>
          <t>SA.sweetness</t>
        </is>
      </c>
    </row>
    <row r="26">
      <c r="A26" s="13" t="inlineStr">
        <is>
          <t>sens_rice aroma</t>
        </is>
      </c>
      <c r="C26" t="inlineStr">
        <is>
          <t>SA.flavor.rice_cereal</t>
        </is>
      </c>
    </row>
    <row r="27">
      <c r="A27" s="13" t="inlineStr">
        <is>
          <t>sens_rice flavor</t>
        </is>
      </c>
      <c r="C27" t="inlineStr">
        <is>
          <t>SA.flavor.rice_cooked</t>
        </is>
      </c>
    </row>
    <row r="28">
      <c r="A28" s="13" t="inlineStr">
        <is>
          <t>sens_oil flavor</t>
        </is>
      </c>
      <c r="C28" t="inlineStr">
        <is>
          <t>SA.flavor.oil</t>
        </is>
      </c>
    </row>
    <row r="29">
      <c r="A29" s="13" t="inlineStr">
        <is>
          <t>sens_oxidated oil</t>
        </is>
      </c>
      <c r="C29" t="inlineStr">
        <is>
          <t>SA.off_flavor.oxidated_oil</t>
        </is>
      </c>
    </row>
    <row r="30">
      <c r="A30" s="13" t="inlineStr">
        <is>
          <t>sens_mouthfeel</t>
        </is>
      </c>
      <c r="C30" t="inlineStr">
        <is>
          <t>SA.body_mothfeel</t>
        </is>
      </c>
    </row>
    <row r="32">
      <c r="A32" s="9" t="inlineStr">
        <is>
          <t>SETTINGS</t>
        </is>
      </c>
    </row>
    <row r="33">
      <c r="A33" t="inlineStr">
        <is>
          <t>benchmark_sample_id</t>
        </is>
      </c>
      <c r="B33" t="inlineStr">
        <is>
          <t>B00_bench</t>
        </is>
      </c>
    </row>
    <row r="34">
      <c r="A34" t="inlineStr">
        <is>
          <t>structure_class</t>
        </is>
      </c>
      <c r="B34" t="inlineStr">
        <is>
          <t>SC.emulsion.ow.beverage</t>
        </is>
      </c>
    </row>
    <row r="35">
      <c r="A35" t="inlineStr">
        <is>
          <t>sensory_scale</t>
        </is>
      </c>
      <c r="B35" t="inlineStr">
        <is>
          <t>relative -2..+2 (0=same as benchmark)</t>
        </is>
      </c>
    </row>
    <row r="36">
      <c r="A36" t="inlineStr">
        <is>
          <t>ingredient_basis</t>
        </is>
      </c>
      <c r="B36" t="inlineStr">
        <is>
          <t>absolute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  <c r="C1" t="inlineStr">
        <is>
          <t>왜 묻는가</t>
        </is>
      </c>
    </row>
    <row r="2">
      <c r="A2" t="inlineStr">
        <is>
          <t>프로파일</t>
        </is>
      </c>
      <c r="B2" t="inlineStr">
        <is>
          <t>beverage_rice_milk</t>
        </is>
      </c>
      <c r="C2" t="inlineStr">
        <is>
          <t>이 표가 어느 제형의 것인지</t>
        </is>
      </c>
    </row>
    <row r="3">
      <c r="A3" t="inlineStr">
        <is>
          <t>규모</t>
        </is>
      </c>
      <c r="B3" t="inlineStr"/>
      <c r="C3" t="inlineStr">
        <is>
          <t>주방 / 파일럿 / 공장</t>
        </is>
      </c>
    </row>
    <row r="4">
      <c r="A4" t="inlineStr">
        <is>
          <t>블록 이름</t>
        </is>
      </c>
      <c r="B4" t="inlineStr">
        <is>
          <t>RM-P1</t>
        </is>
      </c>
      <c r="C4" t="inlineStr">
        <is>
          <t>같은 공정끼리 묶는 이름. 공정을 바꾸면 새 이름을 주세요</t>
        </is>
      </c>
    </row>
    <row r="5">
      <c r="A5" t="inlineStr">
        <is>
          <t>선언자</t>
        </is>
      </c>
      <c r="B5" t="inlineStr">
        <is>
          <t>사용자</t>
        </is>
      </c>
      <c r="C5" t="inlineStr"/>
    </row>
    <row r="6">
      <c r="A6" t="inlineStr">
        <is>
          <t>선언일</t>
        </is>
      </c>
      <c r="B6" t="inlineStr">
        <is>
          <t>2026-09-02</t>
        </is>
      </c>
      <c r="C6" t="inlineStr"/>
    </row>
    <row r="7">
      <c r="A7" t="inlineStr">
        <is>
          <t>가열 — 가열 온도와 시간 (안 하면 '없음')</t>
        </is>
      </c>
      <c r="B7" t="inlineStr"/>
      <c r="C7" t="inlineStr">
        <is>
          <t>이 제형에서 바디감 에 걸립니다</t>
        </is>
      </c>
    </row>
    <row r="8">
      <c r="A8" t="inlineStr">
        <is>
          <t>메모</t>
        </is>
      </c>
      <c r="B8" t="inlineStr">
        <is>
          <t>공정 세부는 미상. '모두 같은 공정' 이라는 것만 확인됨 (2026-09-02 확인). 1 단계 목적은 동일성 판정이므로 세부가 비어 있어도 블록은 성립한다.</t>
        </is>
      </c>
      <c r="C8" t="inlineStr">
        <is>
          <t>그 밖에 남길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2026-07-08T00:34:39Z</dcterms:created>
  <dcterms:modified xsi:type="dcterms:W3CDTF">2026-09-04T08:50:47Z</dcterms:modified>
  <cp:lastModifiedBy>김 상연</cp:lastModifiedBy>
  <cp:revision>0</cp:revision>
</cp:coreProperties>
</file>